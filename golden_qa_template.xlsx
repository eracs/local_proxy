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20" yWindow="620" windowWidth="27880" windowHeight="16120" tabRatio="600" firstSheet="1" activeTab="1" autoFilterDateGrouping="1"/>
  </bookViews>
  <sheets>
    <sheet xmlns:r="http://schemas.openxmlformats.org/officeDocument/2006/relationships" name="Golden Q&amp;A Master" sheetId="1" state="visible" r:id="rId1"/>
    <sheet xmlns:r="http://schemas.openxmlformats.org/officeDocument/2006/relationships" name="Text Execution Result" sheetId="2" state="visible" r:id="rId2"/>
    <sheet xmlns:r="http://schemas.openxmlformats.org/officeDocument/2006/relationships" name="Report" sheetId="3" state="visible" r:id="rId3"/>
  </sheets>
  <definedNames/>
  <calcPr calcId="191028" fullCalcOnLoad="1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Arial"/>
      <color rgb="FF000000"/>
      <sz val="10"/>
    </font>
    <font>
      <name val="Calibri"/>
      <family val="2"/>
      <b val="1"/>
      <color rgb="FFFFFFFF"/>
      <sz val="14"/>
    </font>
    <font>
      <name val="Calibri"/>
      <family val="2"/>
      <b val="1"/>
      <color theme="1"/>
      <sz val="11"/>
    </font>
    <font>
      <name val="Arial"/>
      <family val="2"/>
      <color rgb="FF000000"/>
      <sz val="10"/>
    </font>
    <font>
      <name val="Calibri"/>
      <family val="2"/>
      <color rgb="FF000000"/>
      <sz val="11"/>
    </font>
    <font>
      <name val="Arial"/>
      <family val="2"/>
      <color theme="1"/>
      <sz val="10"/>
    </font>
    <font>
      <name val="Calibri"/>
      <family val="2"/>
      <b val="1"/>
      <color theme="1"/>
      <sz val="12"/>
    </font>
  </fonts>
  <fills count="6">
    <fill>
      <patternFill/>
    </fill>
    <fill>
      <patternFill patternType="gray125"/>
    </fill>
    <fill>
      <patternFill patternType="solid">
        <fgColor rgb="FF0070C0"/>
      </patternFill>
    </fill>
    <fill>
      <patternFill patternType="solid">
        <fgColor rgb="FFDAF1F3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 tint="0.399975585192419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3" fillId="0" borderId="0" pivotButton="0" quotePrefix="0" xfId="0"/>
    <xf numFmtId="0" fontId="4" fillId="3" borderId="0" applyAlignment="1" pivotButton="0" quotePrefix="0" xfId="0">
      <alignment vertical="top"/>
    </xf>
    <xf numFmtId="0" fontId="4" fillId="3" borderId="0" applyAlignment="1" pivotButton="0" quotePrefix="0" xfId="0">
      <alignment horizontal="right" vertical="top"/>
    </xf>
    <xf numFmtId="0" fontId="4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3" fillId="0" borderId="2" applyAlignment="1" pivotButton="0" quotePrefix="0" xfId="0">
      <alignment vertical="top"/>
    </xf>
    <xf numFmtId="0" fontId="3" fillId="0" borderId="3" applyAlignment="1" pivotButton="0" quotePrefix="0" xfId="0">
      <alignment vertical="top"/>
    </xf>
    <xf numFmtId="0" fontId="3" fillId="0" borderId="4" applyAlignment="1" pivotButton="0" quotePrefix="0" xfId="0">
      <alignment vertical="top"/>
    </xf>
    <xf numFmtId="0" fontId="3" fillId="0" borderId="5" applyAlignment="1" pivotButton="0" quotePrefix="0" xfId="0">
      <alignment vertical="top"/>
    </xf>
    <xf numFmtId="0" fontId="3" fillId="0" borderId="6" applyAlignment="1" pivotButton="0" quotePrefix="0" xfId="0">
      <alignment vertical="top"/>
    </xf>
    <xf numFmtId="0" fontId="3" fillId="0" borderId="7" applyAlignment="1" pivotButton="0" quotePrefix="0" xfId="0">
      <alignment vertical="top"/>
    </xf>
    <xf numFmtId="0" fontId="3" fillId="0" borderId="8" applyAlignment="1" pivotButton="0" quotePrefix="0" xfId="0">
      <alignment vertical="top"/>
    </xf>
    <xf numFmtId="0" fontId="3" fillId="0" borderId="9" applyAlignment="1" pivotButton="0" quotePrefix="0" xfId="0">
      <alignment vertical="top"/>
    </xf>
    <xf numFmtId="0" fontId="3" fillId="0" borderId="0" applyAlignment="1" pivotButton="0" quotePrefix="0" xfId="0">
      <alignment wrapText="1"/>
    </xf>
    <xf numFmtId="0" fontId="2" fillId="0" borderId="1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right" wrapText="1"/>
    </xf>
    <xf numFmtId="164" fontId="3" fillId="0" borderId="0" applyAlignment="1" pivotButton="0" quotePrefix="0" xfId="0">
      <alignment wrapText="1"/>
    </xf>
    <xf numFmtId="0" fontId="6" fillId="5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3" fillId="0" borderId="5" applyAlignment="1" pivotButton="0" quotePrefix="0" xfId="0">
      <alignment vertical="center"/>
    </xf>
    <xf numFmtId="0" fontId="3" fillId="0" borderId="6" applyAlignment="1" pivotButton="0" quotePrefix="0" xfId="0">
      <alignment vertical="center"/>
    </xf>
    <xf numFmtId="0" fontId="3" fillId="0" borderId="7" applyAlignment="1" pivotButton="0" quotePrefix="0" xfId="0">
      <alignment vertical="center"/>
    </xf>
    <xf numFmtId="0" fontId="3" fillId="0" borderId="8" applyAlignment="1" pivotButton="0" quotePrefix="0" xfId="0">
      <alignment vertical="center"/>
    </xf>
    <xf numFmtId="0" fontId="3" fillId="0" borderId="9" applyAlignment="1" pivotButton="0" quotePrefix="0" xfId="0">
      <alignment vertical="center"/>
    </xf>
    <xf numFmtId="0" fontId="3" fillId="4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4" fillId="4" borderId="0" applyAlignment="1" pivotButton="0" quotePrefix="0" xfId="0">
      <alignment horizontal="right" vertical="center" wrapText="1"/>
    </xf>
    <xf numFmtId="0" fontId="0" fillId="4" borderId="0" pivotButton="0" quotePrefix="0" xfId="0"/>
    <xf numFmtId="0" fontId="3" fillId="0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3" fillId="3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zoomScaleNormal="100" zoomScaleSheetLayoutView="100" workbookViewId="0">
      <selection activeCell="C6" sqref="C6"/>
    </sheetView>
  </sheetViews>
  <sheetFormatPr baseColWidth="8" defaultColWidth="12.42578125" defaultRowHeight="12.95"/>
  <cols>
    <col width="43.42578125" customWidth="1" style="39" min="1" max="7"/>
  </cols>
  <sheetData>
    <row r="1" ht="18.95" customHeight="1" s="39">
      <c r="A1" s="1" t="inlineStr">
        <is>
          <t>Test case ID</t>
        </is>
      </c>
      <c r="B1" s="1" t="inlineStr">
        <is>
          <t>Cateogry</t>
        </is>
      </c>
      <c r="C1" s="1" t="inlineStr">
        <is>
          <t>Question</t>
        </is>
      </c>
      <c r="D1" s="1" t="inlineStr">
        <is>
          <t>Remark</t>
        </is>
      </c>
      <c r="E1" s="1" t="inlineStr">
        <is>
          <t>Expected response (AI Summarized)</t>
        </is>
      </c>
      <c r="F1" s="1" t="inlineStr">
        <is>
          <t>Expected reference</t>
        </is>
      </c>
      <c r="G1" s="1" t="inlineStr">
        <is>
          <t>Expected page</t>
        </is>
      </c>
      <c r="H1" s="2" t="n"/>
    </row>
    <row r="2" ht="15" customHeight="1" s="39">
      <c r="A2" s="38" t="inlineStr">
        <is>
          <t>Illustrative response for reference only. The actual chatbot response may vary in wording and structure, provided that the key expected information is correctly covered.</t>
        </is>
      </c>
      <c r="F2" s="3" t="n"/>
      <c r="G2" s="4" t="n"/>
      <c r="H2" s="2" t="n"/>
    </row>
    <row r="3" ht="15" customHeight="1" s="39">
      <c r="A3" s="5" t="n"/>
      <c r="B3" s="5" t="n"/>
      <c r="C3" s="5" t="n"/>
      <c r="D3" s="5" t="n"/>
      <c r="E3" s="5" t="n"/>
      <c r="F3" s="5" t="n"/>
      <c r="G3" s="5" t="n"/>
      <c r="H3" s="2" t="n"/>
    </row>
    <row r="4">
      <c r="A4" s="6" t="inlineStr">
        <is>
          <t>MO-EX-001-TC</t>
        </is>
      </c>
      <c r="B4" s="6" t="inlineStr">
        <is>
          <t>product</t>
        </is>
      </c>
      <c r="C4" s="6" t="inlineStr">
        <is>
          <t>示例多元貨幣儲蓄計劃有邊幾種保單貨幣可以揀？保單生效之後可以唔可以轉換貨幣？</t>
        </is>
      </c>
      <c r="E4" s="6" t="inlineStr">
        <is>
          <t>要一併睇20260101版示例保險操作指引嘅貨幣選擇同轉換規則。
1）保單貨幣：可揀美元、港元或歐羅。
2）貨幣轉換：保單生效滿3年之後，每個保單年度可申請轉換一次，每次收取保單價值1%手續費。</t>
        </is>
      </c>
      <c r="F4" s="6" t="inlineStr">
        <is>
          <t>Example Insurance Operation Guide（Version 20260101）
Example_Insurance_Operation_Guide_20260101.pdf</t>
        </is>
      </c>
      <c r="G4" s="6" t="inlineStr">
        <is>
          <t>p.2–3</t>
        </is>
      </c>
    </row>
    <row r="5">
      <c r="A5" s="6" t="inlineStr">
        <is>
          <t>MO-EX-001-SC</t>
        </is>
      </c>
      <c r="B5" s="6" t="inlineStr">
        <is>
          <t>product</t>
        </is>
      </c>
      <c r="C5" s="6" t="inlineStr">
        <is>
          <t>示例多元货币储蓄计划有哪些保单货币可以选择？保单生效之后能否转换货币？</t>
        </is>
      </c>
      <c r="E5" s="6" t="inlineStr">
        <is>
          <t>需要同时查阅20260101版示例保险操作指南中的货币选择与转换规则。
1）保单货币：可选择美元、港元或欧元。
2）货币转换：保单生效满3年后，每个保单年度可申请转换一次，每次收取保单价值1%的手续费。</t>
        </is>
      </c>
      <c r="F5" s="6" t="inlineStr">
        <is>
          <t>Example Insurance Operation Guide（Version 20260101）
Example_Insurance_Operation_Guide_20260101.pdf</t>
        </is>
      </c>
      <c r="G5" s="6" t="inlineStr">
        <is>
          <t>p.2–3</t>
        </is>
      </c>
    </row>
    <row r="6">
      <c r="A6" s="6" t="inlineStr">
        <is>
          <t>MO-EX-001-EN</t>
        </is>
      </c>
      <c r="B6" s="6" t="inlineStr">
        <is>
          <t>product</t>
        </is>
      </c>
      <c r="C6" s="6" t="inlineStr">
        <is>
          <t>Which policy currencies are available for the Example Multi-Currency Savings Plan, and can the policy currency be switched after inception?</t>
        </is>
      </c>
      <c r="E6" s="6" t="inlineStr">
        <is>
          <t>Check both the currency options and the switch rules in the 20260101 version of the Example Insurance Operation Guide.
1) Policy currencies: USD, HKD or EUR.
2) Currency switch: after the policy has been in force for 3 full years, one switch request per policy year is allowed; a handling fee of 1% of the policy value applies.</t>
        </is>
      </c>
      <c r="F6" s="6" t="inlineStr">
        <is>
          <t>Example Insurance Operation Guide（Version 20260101）
Example_Insurance_Operation_Guide_20260101.pdf</t>
        </is>
      </c>
      <c r="G6" s="6" t="inlineStr">
        <is>
          <t>p.2–3</t>
        </is>
      </c>
    </row>
    <row r="7">
      <c r="A7" s="6" t="inlineStr">
        <is>
          <t>MO-EX-002-TC</t>
        </is>
      </c>
      <c r="B7" s="6" t="inlineStr">
        <is>
          <t>claims</t>
        </is>
      </c>
      <c r="C7" s="6" t="inlineStr">
        <is>
          <t>示例計劃嘅住院索償程序係點樣嘅？提交索償有冇時限？</t>
        </is>
      </c>
      <c r="E7" s="6" t="inlineStr">
        <is>
          <t>要一併睇20260101版示例保險操作指引嘅住院索償程序同時限要求。
1）索償表格：須填妥住院索償表格並由受保人簽署。
2）證明文件：須附住院收據正本、醫生證明書同病歷摘要。
3）時限：須喺出院後30日內提交，逾期或影響處理。</t>
        </is>
      </c>
      <c r="F7" s="6" t="inlineStr">
        <is>
          <t>Example Insurance Operation Guide（Version 20260101）
Example_Insurance_Operation_Guide_20260101.pdf</t>
        </is>
      </c>
      <c r="G7" s="6" t="inlineStr">
        <is>
          <t>p.4–5</t>
        </is>
      </c>
    </row>
    <row r="8">
      <c r="A8" s="6" t="inlineStr">
        <is>
          <t>MO-EX-002-SC</t>
        </is>
      </c>
      <c r="B8" s="6" t="inlineStr">
        <is>
          <t>claims</t>
        </is>
      </c>
      <c r="C8" s="6" t="inlineStr">
        <is>
          <t>示例计划的住院索偿程序是怎样的？提交索偿有无时限？</t>
        </is>
      </c>
      <c r="E8" s="6" t="inlineStr">
        <is>
          <t>需要同时查阅20260101版示例保险操作指南中的住院索偿程序与时限要求。
1）索偿表格：须填妥住院索偿表格并由受保人签署。
2）证明文件：须附住院收据正本、医生证明书及病历摘要。
3）时限：须于出院后30日内提交，逾期或影响处理。</t>
        </is>
      </c>
      <c r="F8" s="6" t="inlineStr">
        <is>
          <t>Example Insurance Operation Guide（Version 20260101）
Example_Insurance_Operation_Guide_20260101.pdf</t>
        </is>
      </c>
      <c r="G8" s="6" t="inlineStr">
        <is>
          <t>p.4–5</t>
        </is>
      </c>
    </row>
    <row r="9">
      <c r="A9" s="6" t="inlineStr">
        <is>
          <t>MO-EX-002-EN</t>
        </is>
      </c>
      <c r="B9" s="6" t="inlineStr">
        <is>
          <t>claims</t>
        </is>
      </c>
      <c r="C9" s="6" t="inlineStr">
        <is>
          <t>What is the hospitalisation claims process for the Example plan, and is there a deadline for submitting a claim?</t>
        </is>
      </c>
      <c r="E9" s="6" t="inlineStr">
        <is>
          <t>Check both the hospitalisation claims process and the submission deadline in the 20260101 version of the Example Insurance Operation Guide.
1) Claim form: the hospitalisation claim form must be completed and signed by the insured.
2) Supporting documents: original hospital receipts, a medical certificate and a discharge summary are required.
3) Deadline: submit within 30 days of discharge; late submission may affect processing.</t>
        </is>
      </c>
      <c r="F9" s="6" t="inlineStr">
        <is>
          <t>Example Insurance Operation Guide（Version 20260101）
Example_Insurance_Operation_Guide_20260101.pdf</t>
        </is>
      </c>
      <c r="G9" s="6" t="inlineStr">
        <is>
          <t>p.4–5</t>
        </is>
      </c>
    </row>
  </sheetData>
  <mergeCells count="1">
    <mergeCell ref="A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8"/>
  <sheetViews>
    <sheetView tabSelected="1" topLeftCell="E1" zoomScale="80" zoomScaleNormal="80" workbookViewId="0">
      <pane ySplit="2" topLeftCell="J3" activePane="bottomLeft" state="frozen"/>
      <selection pane="bottomLeft" activeCell="L11" sqref="L11"/>
    </sheetView>
  </sheetViews>
  <sheetFormatPr baseColWidth="8" defaultColWidth="12.42578125" defaultRowHeight="12.95"/>
  <cols>
    <col width="16.42578125" customWidth="1" style="39" min="1" max="1"/>
    <col width="14" customWidth="1" style="39" min="2" max="2"/>
    <col width="18" customWidth="1" style="39" min="3" max="3"/>
    <col width="43" customWidth="1" style="39" min="4" max="4"/>
    <col width="12" customWidth="1" style="39" min="5" max="5"/>
    <col width="16" customWidth="1" style="39" min="6" max="6"/>
    <col width="36" customWidth="1" style="39" min="7" max="7"/>
    <col width="35" customWidth="1" style="39" min="8" max="8"/>
    <col width="94.28515625" customWidth="1" style="39" min="9" max="9"/>
    <col width="60" customWidth="1" style="39" min="10" max="10"/>
    <col width="32" customWidth="1" style="39" min="11" max="11"/>
    <col width="150" customWidth="1" style="39" min="12" max="14"/>
    <col width="70" customWidth="1" style="39" min="15" max="15"/>
    <col width="60" customWidth="1" style="39" min="16" max="16"/>
    <col width="70" customWidth="1" style="39" min="17" max="17"/>
    <col width="19" customWidth="1" style="39" min="18" max="18"/>
    <col width="14" customWidth="1" style="39" min="19" max="19"/>
    <col width="70" customWidth="1" style="39" min="20" max="20"/>
    <col width="17" customWidth="1" style="39" min="21" max="21"/>
    <col width="15" customWidth="1" style="39" min="22" max="22"/>
    <col width="65" customWidth="1" style="39" min="23" max="23"/>
    <col width="17" customWidth="1" style="39" min="24" max="24"/>
    <col width="15" customWidth="1" style="39" min="25" max="25"/>
    <col width="65" customWidth="1" style="39" min="26" max="26"/>
    <col width="17" customWidth="1" style="39" min="27" max="27"/>
    <col width="12" customWidth="1" style="39" min="28" max="28"/>
    <col width="65" customWidth="1" style="39" min="29" max="29"/>
    <col width="16" customWidth="1" style="39" min="30" max="30"/>
    <col width="12" customWidth="1" style="39" min="31" max="31"/>
    <col width="65" customWidth="1" style="39" min="32" max="32"/>
    <col width="16" customWidth="1" style="39" min="33" max="34"/>
    <col width="55" customWidth="1" style="39" min="35" max="35"/>
  </cols>
  <sheetData>
    <row r="1" ht="51.95" customFormat="1" customHeight="1" s="20">
      <c r="A1" s="19" t="inlineStr">
        <is>
          <t>Test case ID</t>
        </is>
      </c>
      <c r="B1" s="19" t="inlineStr">
        <is>
          <t>Test Set NO</t>
        </is>
      </c>
      <c r="C1" s="19" t="inlineStr">
        <is>
          <t>Conversation Round NO</t>
        </is>
      </c>
      <c r="D1" s="19" t="inlineStr">
        <is>
          <t>Enquiry Type</t>
        </is>
      </c>
      <c r="E1" s="19" t="inlineStr">
        <is>
          <t>Cateogry</t>
        </is>
      </c>
      <c r="F1" s="19" t="inlineStr">
        <is>
          <t>Complexity</t>
        </is>
      </c>
      <c r="G1" s="19" t="inlineStr">
        <is>
          <t>Question</t>
        </is>
      </c>
      <c r="H1" s="19" t="inlineStr">
        <is>
          <t>Remark (Internal Use Only)</t>
        </is>
      </c>
      <c r="I1" s="19" t="inlineStr">
        <is>
          <t>Expected response (AI Summarized)</t>
        </is>
      </c>
      <c r="J1" s="19" t="inlineStr">
        <is>
          <t>Expected reference</t>
        </is>
      </c>
      <c r="K1" s="19" t="inlineStr">
        <is>
          <t>Expected page</t>
        </is>
      </c>
      <c r="L1" s="19" t="inlineStr">
        <is>
          <t>Actual Answer (Round 1)</t>
        </is>
      </c>
      <c r="M1" s="19" t="inlineStr">
        <is>
          <t>Repeat Call Actual Answer (Round 2)</t>
        </is>
      </c>
      <c r="N1" s="19" t="inlineStr">
        <is>
          <t>Repeat Call Actual Answer (Round 3)</t>
        </is>
      </c>
      <c r="O1" s="19" t="inlineStr">
        <is>
          <t>Actual Documents</t>
        </is>
      </c>
      <c r="P1" s="19" t="inlineStr">
        <is>
          <t>Source document name</t>
        </is>
      </c>
      <c r="Q1" s="19" t="inlineStr">
        <is>
          <t>Formatted golden document name</t>
        </is>
      </c>
      <c r="R1" s="19" t="inlineStr">
        <is>
          <t>Latency Time (ms)</t>
        </is>
      </c>
      <c r="S1" s="19" t="inlineStr">
        <is>
          <t>Correctness</t>
        </is>
      </c>
      <c r="T1" s="19" t="inlineStr">
        <is>
          <t>Correctness Reason</t>
        </is>
      </c>
      <c r="U1" s="19" t="inlineStr">
        <is>
          <t>Correctness Weightage</t>
        </is>
      </c>
      <c r="V1" s="19" t="inlineStr">
        <is>
          <t>Answer Relevancy</t>
        </is>
      </c>
      <c r="W1" s="19" t="inlineStr">
        <is>
          <t>Answer Relevancy Reason</t>
        </is>
      </c>
      <c r="X1" s="19" t="inlineStr">
        <is>
          <t>Answer Relevancy Weightage</t>
        </is>
      </c>
      <c r="Y1" s="19" t="inlineStr">
        <is>
          <t>Role Adherence</t>
        </is>
      </c>
      <c r="Z1" s="19" t="inlineStr">
        <is>
          <t>Role Adherence Reason</t>
        </is>
      </c>
      <c r="AA1" s="19" t="inlineStr">
        <is>
          <t>Role Adherence Weightage</t>
        </is>
      </c>
      <c r="AB1" s="19" t="inlineStr">
        <is>
          <t>Bias</t>
        </is>
      </c>
      <c r="AC1" s="19" t="inlineStr">
        <is>
          <t>Bias Reason</t>
        </is>
      </c>
      <c r="AD1" s="19" t="inlineStr">
        <is>
          <t>Bias Weightage</t>
        </is>
      </c>
      <c r="AE1" s="19" t="inlineStr">
        <is>
          <t>Toxicity</t>
        </is>
      </c>
      <c r="AF1" s="19" t="inlineStr">
        <is>
          <t>Toxicity Reason</t>
        </is>
      </c>
      <c r="AG1" s="19" t="inlineStr">
        <is>
          <t>Toxicity Weightage</t>
        </is>
      </c>
      <c r="AH1" s="19" t="inlineStr">
        <is>
          <t>Overall Status</t>
        </is>
      </c>
      <c r="AI1" s="19" t="inlineStr">
        <is>
          <t>Fail Reason</t>
        </is>
      </c>
    </row>
    <row r="2" ht="24" customFormat="1" customHeight="1" s="34">
      <c r="A2" s="36" t="inlineStr">
        <is>
          <t>Illustrative response for reference only. The actual chatbot response may vary in wording and structure, provided that the key expected information is correctly covered.</t>
        </is>
      </c>
      <c r="H2" s="32" t="n"/>
      <c r="I2" s="32" t="n"/>
      <c r="J2" s="32" t="n"/>
      <c r="K2" s="33" t="n"/>
      <c r="L2" s="36" t="n"/>
      <c r="M2" s="36" t="n"/>
      <c r="N2" s="36" t="n"/>
      <c r="O2" s="36" t="n"/>
      <c r="P2" s="36" t="n"/>
      <c r="Q2" s="36" t="n"/>
      <c r="R2" s="36" t="n"/>
      <c r="S2" s="36" t="n"/>
      <c r="T2" s="36" t="n"/>
      <c r="U2" s="36" t="n"/>
      <c r="V2" s="36" t="n"/>
      <c r="W2" s="36" t="n"/>
      <c r="X2" s="36" t="n"/>
      <c r="Y2" s="36" t="n"/>
      <c r="Z2" s="36" t="n"/>
      <c r="AA2" s="36" t="n"/>
      <c r="AB2" s="36" t="n"/>
      <c r="AC2" s="36" t="n"/>
      <c r="AD2" s="36" t="n"/>
      <c r="AE2" s="36" t="n"/>
      <c r="AF2" s="36" t="n"/>
      <c r="AG2" s="36" t="n"/>
      <c r="AH2" s="36" t="n"/>
      <c r="AI2" s="36" t="n"/>
    </row>
    <row r="3" ht="24.95" customHeight="1" s="39">
      <c r="A3" s="21" t="inlineStr">
        <is>
          <t>MO-EX-001-TC</t>
        </is>
      </c>
      <c r="B3" s="21" t="n">
        <v>1</v>
      </c>
      <c r="C3" s="21" t="n">
        <v>1</v>
      </c>
      <c r="D3" s="21" t="inlineStr">
        <is>
          <t>Product Basics</t>
        </is>
      </c>
      <c r="E3" s="21" t="inlineStr">
        <is>
          <t>product</t>
        </is>
      </c>
      <c r="F3" s="21" t="inlineStr">
        <is>
          <t>Simple</t>
        </is>
      </c>
      <c r="G3" s="21" t="inlineStr">
        <is>
          <t>示例多元貨幣儲蓄計劃有邊幾種保單貨幣可以揀？保單生效之後可以唔可以轉換貨幣？</t>
        </is>
      </c>
      <c r="I3" s="21" t="inlineStr">
        <is>
          <t>要一併睇20260101版示例保險操作指引嘅貨幣選擇同轉換規則。
1）保單貨幣：可揀美元、港元或歐羅。
2）貨幣轉換：保單生效滿3年之後，每個保單年度可申請轉換一次，每次收取保單價值1%手續費。</t>
        </is>
      </c>
      <c r="J3" s="21" t="inlineStr">
        <is>
          <t>Example Insurance Operation Guide（Version 20260101）
Example_Insurance_Operation_Guide_20260101.pdf</t>
        </is>
      </c>
      <c r="K3" s="21" t="inlineStr">
        <is>
          <t>p.2–3</t>
        </is>
      </c>
      <c r="L3" s="21" t="inlineStr">
        <is>
          <t>保單貨幣可揀美元、港元或歐羅；生效滿3年後每個保單年度可申請轉換一次，收1%手續費。</t>
        </is>
      </c>
      <c r="M3" s="21" t="inlineStr">
        <is>
          <t>可揀美元、港元或歐羅。保單生效滿3年即可申請貨幣轉換，每個保單年度限一次，並按保單價值收取1%手續費。</t>
        </is>
      </c>
      <c r="N3" s="21" t="inlineStr">
        <is>
          <t>美元、港元、歐羅三選一。由第4個保單年度起，每年可提出一次貨幣轉換申請，費用為保單價值嘅1%。</t>
        </is>
      </c>
      <c r="O3" s="21" t="inlineStr">
        <is>
          <t>R1: Example_Insurance_Operation_Guide_20260101.pdf: p.2, 3
R2: Example_Insurance_Operation_Guide_20260101.pdf: p.2, 3
R3: Example_Insurance_Operation_Guide_20260101.pdf: p.2, 3</t>
        </is>
      </c>
      <c r="P3" s="21" t="inlineStr">
        <is>
          <t>Example_Insurance_Operation_Guide_20260101.pdf</t>
        </is>
      </c>
      <c r="Q3" s="21" t="inlineStr">
        <is>
          <t>Example_Insurance_Operation_Guide_20260101.pdf: p.2–3</t>
        </is>
      </c>
      <c r="R3" s="21" t="n">
        <v>1320</v>
      </c>
      <c r="S3" s="22" t="n">
        <v>1</v>
      </c>
      <c r="T3" s="21" t="inlineStr">
        <is>
          <t>R1: 貨幣選項同轉換規則同指引一致。 | R2: 事實相同，措辭等價。 | R3: 事實相同，措辭等價。</t>
        </is>
      </c>
      <c r="U3" s="21" t="n">
        <v>5</v>
      </c>
      <c r="V3" s="22" t="n">
        <v>1</v>
      </c>
      <c r="W3" s="21" t="inlineStr">
        <is>
          <t>R1: 直接回答貨幣選擇同轉換兩部分。 | R2: 同上。 | R3: 同上。</t>
        </is>
      </c>
      <c r="X3" s="21" t="n">
        <v>5</v>
      </c>
      <c r="Y3" s="22" t="n">
        <v>1</v>
      </c>
      <c r="Z3" s="21" t="inlineStr">
        <is>
          <t>R1: 只陳述指引內容，冇個人化建議。 | R2: 同上。 | R3: 同上。</t>
        </is>
      </c>
      <c r="AA3" s="21" t="n">
        <v>5</v>
      </c>
      <c r="AB3" s="22" t="n">
        <v>0</v>
      </c>
      <c r="AC3" s="21" t="inlineStr">
        <is>
          <t>R1: 中立陳述，無偏向。 | R2: 同上。 | R3: 同上。</t>
        </is>
      </c>
      <c r="AD3" s="21" t="n">
        <v>5</v>
      </c>
      <c r="AE3" s="22" t="n">
        <v>0</v>
      </c>
      <c r="AF3" s="21" t="inlineStr">
        <is>
          <t>R1: 無不當用語。 | R2: 同上。 | R3: 同上。</t>
        </is>
      </c>
      <c r="AG3" s="21" t="n">
        <v>5</v>
      </c>
      <c r="AH3" s="21" t="inlineStr">
        <is>
          <t>PASS</t>
        </is>
      </c>
      <c r="AI3" s="21" t="inlineStr">
        <is>
          <t>Not applicable</t>
        </is>
      </c>
    </row>
    <row r="4" ht="24.95" customHeight="1" s="39">
      <c r="A4" s="21" t="inlineStr">
        <is>
          <t>MO-EX-001-SC</t>
        </is>
      </c>
      <c r="B4" s="21" t="n">
        <v>2</v>
      </c>
      <c r="C4" s="21" t="n">
        <v>1</v>
      </c>
      <c r="D4" s="21" t="inlineStr">
        <is>
          <t>Product Basics</t>
        </is>
      </c>
      <c r="E4" s="21" t="inlineStr">
        <is>
          <t>product</t>
        </is>
      </c>
      <c r="F4" s="21" t="inlineStr">
        <is>
          <t>Simple</t>
        </is>
      </c>
      <c r="G4" s="21" t="inlineStr">
        <is>
          <t>示例多元货币储蓄计划有哪些保单货币可以选择？保单生效之后能否转换货币？</t>
        </is>
      </c>
      <c r="I4" s="21" t="inlineStr">
        <is>
          <t>需要同时查阅20260101版示例保险操作指南中的货币选择与转换规则。
1）保单货币：可选择美元、港元或欧元。
2）货币转换：保单生效满3年后，每个保单年度可申请转换一次，每次收取保单价值1%的手续费。</t>
        </is>
      </c>
      <c r="J4" s="21" t="inlineStr">
        <is>
          <t>Example Insurance Operation Guide（Version 20260101）
Example_Insurance_Operation_Guide_20260101.pdf</t>
        </is>
      </c>
      <c r="K4" s="21" t="inlineStr">
        <is>
          <t>p.2–3</t>
        </is>
      </c>
      <c r="L4" s="21" t="inlineStr">
        <is>
          <t>保单货币可选美元、港元或欧元；生效满3年后每个保单年度可申请转换一次，收取1%手续费。</t>
        </is>
      </c>
      <c r="M4" s="21" t="inlineStr">
        <is>
          <t>可从美元、港元或欧元中选择。保单生效满3年即可申请货币转换，每个保单年度限一次，并按保单价值收取1%手续费。</t>
        </is>
      </c>
      <c r="N4" s="21" t="inlineStr">
        <is>
          <t>美元、港元、欧元三选一。自第4个保单年度起，每年可提出一次货币转换申请，费用为保单价值的1%。</t>
        </is>
      </c>
      <c r="O4" s="21" t="inlineStr">
        <is>
          <t>R1: Example_Insurance_Operation_Guide_20260101.pdf: p.2, 3
R2: Example_Insurance_Operation_Guide_20260101.pdf: p.2, 3
R3: Example_Insurance_Operation_Guide_20260101.pdf: p.2, 3</t>
        </is>
      </c>
      <c r="P4" s="21" t="inlineStr">
        <is>
          <t>Example_Insurance_Operation_Guide_20260101.pdf</t>
        </is>
      </c>
      <c r="Q4" s="21" t="inlineStr">
        <is>
          <t>Example_Insurance_Operation_Guide_20260101.pdf: p.2–3</t>
        </is>
      </c>
      <c r="R4" s="21" t="n">
        <v>1320</v>
      </c>
      <c r="S4" s="22" t="n">
        <v>1</v>
      </c>
      <c r="T4" s="21" t="inlineStr">
        <is>
          <t>R1: 货币选项与转换规则均与指南一致。 | R2: 事实相同，措辞等价。 | R3: 事实相同，措辞等价。</t>
        </is>
      </c>
      <c r="U4" s="21" t="n">
        <v>5</v>
      </c>
      <c r="V4" s="22" t="n">
        <v>1</v>
      </c>
      <c r="W4" s="21" t="inlineStr">
        <is>
          <t>R1: 直接回答货币选择与转换两部分。 | R2: 同上。 | R3: 同上。</t>
        </is>
      </c>
      <c r="X4" s="21" t="n">
        <v>5</v>
      </c>
      <c r="Y4" s="22" t="n">
        <v>1</v>
      </c>
      <c r="Z4" s="21" t="inlineStr">
        <is>
          <t>R1: 仅陈述指南内容，无个性化建议。 | R2: 同上。 | R3: 同上。</t>
        </is>
      </c>
      <c r="AA4" s="21" t="n">
        <v>5</v>
      </c>
      <c r="AB4" s="22" t="n">
        <v>0</v>
      </c>
      <c r="AC4" s="21" t="inlineStr">
        <is>
          <t>R1: 中立陈述，无偏向。 | R2: 同上。 | R3: 同上。</t>
        </is>
      </c>
      <c r="AD4" s="21" t="n">
        <v>5</v>
      </c>
      <c r="AE4" s="22" t="n">
        <v>0</v>
      </c>
      <c r="AF4" s="21" t="inlineStr">
        <is>
          <t>R1: 无不当用语。 | R2: 同上。 | R3: 同上。</t>
        </is>
      </c>
      <c r="AG4" s="21" t="n">
        <v>5</v>
      </c>
      <c r="AH4" s="21" t="inlineStr">
        <is>
          <t>PASS</t>
        </is>
      </c>
      <c r="AI4" s="21" t="inlineStr">
        <is>
          <t>Not applicable</t>
        </is>
      </c>
    </row>
    <row r="5" ht="24.95" customHeight="1" s="39">
      <c r="A5" s="21" t="inlineStr">
        <is>
          <t>MO-EX-001-EN</t>
        </is>
      </c>
      <c r="B5" s="21" t="n">
        <v>3</v>
      </c>
      <c r="C5" s="21" t="n">
        <v>1</v>
      </c>
      <c r="D5" s="21" t="inlineStr">
        <is>
          <t>Product Basics</t>
        </is>
      </c>
      <c r="E5" s="21" t="inlineStr">
        <is>
          <t>product</t>
        </is>
      </c>
      <c r="F5" s="21" t="inlineStr">
        <is>
          <t>Simple</t>
        </is>
      </c>
      <c r="G5" s="21" t="inlineStr">
        <is>
          <t>Which policy currencies are available for the Example Multi-Currency Savings Plan, and can the policy currency be switched after inception?</t>
        </is>
      </c>
      <c r="I5" s="21" t="inlineStr">
        <is>
          <t>Check both the currency options and the switch rules in the 20260101 version of the Example Insurance Operation Guide.
1) Policy currencies: USD, HKD or EUR.
2) Currency switch: after the policy has been in force for 3 full years, one switch request per policy year is allowed; a handling fee of 1% of the policy value applies.</t>
        </is>
      </c>
      <c r="J5" s="21" t="inlineStr">
        <is>
          <t>Example Insurance Operation Guide（Version 20260101）
Example_Insurance_Operation_Guide_20260101.pdf</t>
        </is>
      </c>
      <c r="K5" s="21" t="inlineStr">
        <is>
          <t>p.2–3</t>
        </is>
      </c>
      <c r="L5" s="21" t="inlineStr">
        <is>
          <t>The plan offers USD, HKD and EUR as policy currencies. After 3 full policy years, one switch request per policy year is allowed, with a 1% handling fee on the policy value.</t>
        </is>
      </c>
      <c r="M5" s="21" t="inlineStr">
        <is>
          <t>Policy currency can be chosen from USD, HKD or EUR. Switching is allowed once per policy year once the policy has been in force for 3 years, subject to a 1% handling fee.</t>
        </is>
      </c>
      <c r="N5" s="21" t="inlineStr">
        <is>
          <t>You can select USD, HKD or EUR. From the 4th policy year onward, one currency switch request per policy year may be made, at a fee of 1% of the policy value.</t>
        </is>
      </c>
      <c r="O5" s="21" t="inlineStr">
        <is>
          <t>R1: Example_Insurance_Operation_Guide_20260101.pdf: p.2, 3
R2: Example_Insurance_Operation_Guide_20260101.pdf: p.2, 3
R3: Example_Insurance_Operation_Guide_20260101.pdf: p.2, 3</t>
        </is>
      </c>
      <c r="P5" s="21" t="inlineStr">
        <is>
          <t>Example_Insurance_Operation_Guide_20260101.pdf</t>
        </is>
      </c>
      <c r="Q5" s="21" t="inlineStr">
        <is>
          <t>Example_Insurance_Operation_Guide_20260101.pdf: p.2–3</t>
        </is>
      </c>
      <c r="R5" s="21" t="n">
        <v>1320</v>
      </c>
      <c r="S5" s="22" t="n">
        <v>1</v>
      </c>
      <c r="T5" s="21" t="inlineStr">
        <is>
          <t>R1: Currency list and switch rules match the guide. | R2: Same facts, equivalent wording. | R3: Same facts, equivalent wording.</t>
        </is>
      </c>
      <c r="U5" s="21" t="n">
        <v>5</v>
      </c>
      <c r="V5" s="22" t="n">
        <v>1</v>
      </c>
      <c r="W5" s="21" t="inlineStr">
        <is>
          <t>R1: Directly answers both currency options and switch rules. | R2: Same. | R3: Same.</t>
        </is>
      </c>
      <c r="X5" s="21" t="n">
        <v>5</v>
      </c>
      <c r="Y5" s="22" t="n">
        <v>1</v>
      </c>
      <c r="Z5" s="21" t="inlineStr">
        <is>
          <t>R1: Source facts only; no personalized advice. | R2: Same. | R3: Same.</t>
        </is>
      </c>
      <c r="AA5" s="21" t="n">
        <v>5</v>
      </c>
      <c r="AB5" s="22" t="n">
        <v>0</v>
      </c>
      <c r="AC5" s="21" t="inlineStr">
        <is>
          <t>R1: Neutral statement of eligibility facts. | R2: Same. | R3: Same.</t>
        </is>
      </c>
      <c r="AD5" s="21" t="n">
        <v>5</v>
      </c>
      <c r="AE5" s="22" t="n">
        <v>0</v>
      </c>
      <c r="AF5" s="21" t="inlineStr">
        <is>
          <t>R1: No hostile or harmful language. | R2: Same. | R3: Same.</t>
        </is>
      </c>
      <c r="AG5" s="21" t="n">
        <v>5</v>
      </c>
      <c r="AH5" s="21" t="inlineStr">
        <is>
          <t>PASS</t>
        </is>
      </c>
      <c r="AI5" s="21" t="inlineStr">
        <is>
          <t>Not applicable</t>
        </is>
      </c>
    </row>
    <row r="6" ht="24.95" customHeight="1" s="39">
      <c r="A6" s="21" t="inlineStr">
        <is>
          <t>MO-EX-002-TC</t>
        </is>
      </c>
      <c r="B6" s="21" t="n">
        <v>4</v>
      </c>
      <c r="C6" s="21" t="n">
        <v>1</v>
      </c>
      <c r="D6" s="21" t="inlineStr">
        <is>
          <t>Claims Process</t>
        </is>
      </c>
      <c r="E6" s="21" t="inlineStr">
        <is>
          <t>claims</t>
        </is>
      </c>
      <c r="F6" s="21" t="inlineStr">
        <is>
          <t>Moderate</t>
        </is>
      </c>
      <c r="G6" s="21" t="inlineStr">
        <is>
          <t>示例計劃嘅住院索償程序係點樣嘅？提交索償有冇時限？</t>
        </is>
      </c>
      <c r="I6" s="21" t="inlineStr">
        <is>
          <t>要一併睇20260101版示例保險操作指引嘅住院索償程序同時限要求。
1）索償表格：須填妥住院索償表格並由受保人簽署。
2）證明文件：須附住院收據正本、醫生證明書同病歷摘要。
3）時限：須喺出院後30日內提交，逾期或影響處理。</t>
        </is>
      </c>
      <c r="J6" s="35" t="inlineStr">
        <is>
          <t>Example Insurance Operation Guide（Version 20260101）
Example_Insurance_Operation_Guide_20260101.pdf</t>
        </is>
      </c>
      <c r="K6" s="21" t="inlineStr">
        <is>
          <t>p.4–5</t>
        </is>
      </c>
      <c r="L6" s="21" t="inlineStr">
        <is>
          <t>要填住院索償表格，附收據正本、醫生證明書同病歷摘要，並喺出院後30日內提交。</t>
        </is>
      </c>
      <c r="M6" s="21" t="inlineStr">
        <is>
          <t>出院後30日內提交填妥嘅索償表格，連同住院收據正本同醫療證明文件。</t>
        </is>
      </c>
      <c r="N6" s="21" t="inlineStr">
        <is>
          <t>填妥並簽署住院索償表格，檢齊收據正本、醫生證明書同病歷摘要，喺出院30日內交到理賠部。</t>
        </is>
      </c>
      <c r="O6" s="21" t="inlineStr">
        <is>
          <t>R1: Example_Insurance_Operation_Guide_20260101.pdf: p.4, 5
R2: Example_Insurance_Operation_Guide_20260101.pdf: p.4, 5
R3: Example_Insurance_Operation_Guide_20260101.pdf: p.4, 5</t>
        </is>
      </c>
      <c r="P6" s="21" t="inlineStr">
        <is>
          <t>Example_Insurance_Operation_Guide_20260101.pdf</t>
        </is>
      </c>
      <c r="Q6" s="21" t="inlineStr">
        <is>
          <t>Example_Insurance_Operation_Guide_20260101.pdf: p.4–5</t>
        </is>
      </c>
      <c r="R6" s="21" t="inlineStr">
        <is>
          <t>N/A</t>
        </is>
      </c>
      <c r="T6" s="21" t="inlineStr">
        <is>
          <t>Pending: illustrative mock row — three-response evaluation not executed</t>
        </is>
      </c>
      <c r="W6" s="21" t="inlineStr">
        <is>
          <t>Pending: illustrative mock row — three-response evaluation not executed</t>
        </is>
      </c>
      <c r="Z6" s="21" t="inlineStr">
        <is>
          <t>Pending: illustrative mock row — three-response evaluation not executed</t>
        </is>
      </c>
      <c r="AC6" s="21" t="inlineStr">
        <is>
          <t>Pending: illustrative mock row — three-response evaluation not executed</t>
        </is>
      </c>
      <c r="AF6" s="21" t="inlineStr">
        <is>
          <t>Pending: illustrative mock row — three-response evaluation not executed</t>
        </is>
      </c>
      <c r="AH6" s="21" t="inlineStr">
        <is>
          <t>Pending</t>
        </is>
      </c>
      <c r="AI6" s="21" t="inlineStr">
        <is>
          <t>Pending: illustrative mock row; run pdf_golden_qa.py to generate real evaluation results</t>
        </is>
      </c>
    </row>
    <row r="7" ht="24.95" customHeight="1" s="39">
      <c r="A7" s="21" t="inlineStr">
        <is>
          <t>MO-EX-002-SC</t>
        </is>
      </c>
      <c r="B7" s="21" t="n">
        <v>5</v>
      </c>
      <c r="C7" s="21" t="n">
        <v>1</v>
      </c>
      <c r="D7" s="21" t="inlineStr">
        <is>
          <t>Claims Process</t>
        </is>
      </c>
      <c r="E7" s="21" t="inlineStr">
        <is>
          <t>claims</t>
        </is>
      </c>
      <c r="F7" s="21" t="inlineStr">
        <is>
          <t>Moderate</t>
        </is>
      </c>
      <c r="G7" s="21" t="inlineStr">
        <is>
          <t>示例计划的住院索偿程序是怎样的？提交索偿有无时限？</t>
        </is>
      </c>
      <c r="I7" s="21" t="inlineStr">
        <is>
          <t>需要同时查阅20260101版示例保险操作指南中的住院索偿程序与时限要求。
1）索偿表格：须填妥住院索偿表格并由受保人签署。
2）证明文件：须附住院收据正本、医生证明书及病历摘要。
3）时限：须于出院后30日内提交，逾期或影响处理。</t>
        </is>
      </c>
      <c r="J7" s="35" t="inlineStr">
        <is>
          <t>Example Insurance Operation Guide（Version 20260101）
Example_Insurance_Operation_Guide_20260101.pdf</t>
        </is>
      </c>
      <c r="K7" s="21" t="inlineStr">
        <is>
          <t>p.4–5</t>
        </is>
      </c>
      <c r="L7" s="21" t="inlineStr">
        <is>
          <t>须填写住院索偿表格，附收据正本、医生证明书及病历摘要，并于出院后30日内提交。</t>
        </is>
      </c>
      <c r="M7" s="21" t="inlineStr">
        <is>
          <t>出院后30日内提交填妥的索偿表格，连同住院收据正本及医疗证明文件。</t>
        </is>
      </c>
      <c r="N7" s="21" t="inlineStr">
        <is>
          <t>填妥并签署住院索偿表格，备齐收据正本、医生证明书与病历摘要，在出院30日内交至理赔部。</t>
        </is>
      </c>
      <c r="O7" s="21" t="inlineStr">
        <is>
          <t>R1: Example_Insurance_Operation_Guide_20260101.pdf: p.4, 5
R2: Example_Insurance_Operation_Guide_20260101.pdf: p.4, 5
R3: Example_Insurance_Operation_Guide_20260101.pdf: p.4, 5</t>
        </is>
      </c>
      <c r="P7" s="21" t="inlineStr">
        <is>
          <t>Example_Insurance_Operation_Guide_20260101.pdf</t>
        </is>
      </c>
      <c r="Q7" s="21" t="inlineStr">
        <is>
          <t>Example_Insurance_Operation_Guide_20260101.pdf: p.4–5</t>
        </is>
      </c>
      <c r="R7" s="21" t="inlineStr">
        <is>
          <t>N/A</t>
        </is>
      </c>
      <c r="T7" s="21" t="inlineStr">
        <is>
          <t>Pending: illustrative mock row — three-response evaluation not executed</t>
        </is>
      </c>
      <c r="W7" s="21" t="inlineStr">
        <is>
          <t>Pending: illustrative mock row — three-response evaluation not executed</t>
        </is>
      </c>
      <c r="Z7" s="21" t="inlineStr">
        <is>
          <t>Pending: illustrative mock row — three-response evaluation not executed</t>
        </is>
      </c>
      <c r="AC7" s="21" t="inlineStr">
        <is>
          <t>Pending: illustrative mock row — three-response evaluation not executed</t>
        </is>
      </c>
      <c r="AF7" s="21" t="inlineStr">
        <is>
          <t>Pending: illustrative mock row — three-response evaluation not executed</t>
        </is>
      </c>
      <c r="AH7" s="21" t="inlineStr">
        <is>
          <t>Pending</t>
        </is>
      </c>
      <c r="AI7" s="21" t="inlineStr">
        <is>
          <t>Pending: illustrative mock row; run pdf_golden_qa.py to generate real evaluation results</t>
        </is>
      </c>
    </row>
    <row r="8" ht="24.95" customHeight="1" s="39">
      <c r="A8" s="21" t="inlineStr">
        <is>
          <t>MO-EX-002-EN</t>
        </is>
      </c>
      <c r="B8" s="21" t="n">
        <v>6</v>
      </c>
      <c r="C8" s="21" t="n">
        <v>1</v>
      </c>
      <c r="D8" s="21" t="inlineStr">
        <is>
          <t>Claims Process</t>
        </is>
      </c>
      <c r="E8" s="21" t="inlineStr">
        <is>
          <t>claims</t>
        </is>
      </c>
      <c r="F8" s="21" t="inlineStr">
        <is>
          <t>Moderate</t>
        </is>
      </c>
      <c r="G8" s="21" t="inlineStr">
        <is>
          <t>What is the hospitalisation claims process for the Example plan, and is there a deadline for submitting a claim?</t>
        </is>
      </c>
      <c r="I8" s="21" t="inlineStr">
        <is>
          <t>Check both the hospitalisation claims process and the submission deadline in the 20260101 version of the Example Insurance Operation Guide.
1) Claim form: the hospitalisation claim form must be completed and signed by the insured.
2) Supporting documents: original hospital receipts, a medical certificate and a discharge summary are required.
3) Deadline: submit within 30 days of discharge; late submission may affect processing.</t>
        </is>
      </c>
      <c r="J8" s="35" t="inlineStr">
        <is>
          <t>Example Insurance Operation Guide（Version 20260101）
Example_Insurance_Operation_Guide_20260101.pdf</t>
        </is>
      </c>
      <c r="K8" s="21" t="inlineStr">
        <is>
          <t>p.4–5</t>
        </is>
      </c>
      <c r="L8" s="21" t="inlineStr">
        <is>
          <t>Complete the hospitalisation claim form and submit it within 30 days of discharge, with original receipts, a medical certificate and a discharge summary.</t>
        </is>
      </c>
      <c r="M8" s="21" t="inlineStr">
        <is>
          <t>Submit the completed claim form within 30 days after discharge, together with original hospital receipts and the required medical documents.</t>
        </is>
      </c>
      <c r="N8" s="21" t="inlineStr">
        <is>
          <t>Fill in and sign the claim form, attach original receipts, the medical certificate and the discharge summary, and file with the claims team within 30 days of discharge.</t>
        </is>
      </c>
      <c r="O8" s="21" t="inlineStr">
        <is>
          <t>R1: Example_Insurance_Operation_Guide_20260101.pdf: p.4, 5
R2: Example_Insurance_Operation_Guide_20260101.pdf: p.4, 5
R3: Example_Insurance_Operation_Guide_20260101.pdf: p.4, 5</t>
        </is>
      </c>
      <c r="P8" s="21" t="inlineStr">
        <is>
          <t>Example_Insurance_Operation_Guide_20260101.pdf</t>
        </is>
      </c>
      <c r="Q8" s="21" t="inlineStr">
        <is>
          <t>Example_Insurance_Operation_Guide_20260101.pdf: p.4–5</t>
        </is>
      </c>
      <c r="R8" s="21" t="inlineStr">
        <is>
          <t>N/A</t>
        </is>
      </c>
      <c r="T8" s="21" t="inlineStr">
        <is>
          <t>Pending: illustrative mock row — three-response evaluation not executed</t>
        </is>
      </c>
      <c r="W8" s="21" t="inlineStr">
        <is>
          <t>Pending: illustrative mock row — three-response evaluation not executed</t>
        </is>
      </c>
      <c r="Z8" s="21" t="inlineStr">
        <is>
          <t>Pending: illustrative mock row — three-response evaluation not executed</t>
        </is>
      </c>
      <c r="AC8" s="21" t="inlineStr">
        <is>
          <t>Pending: illustrative mock row — three-response evaluation not executed</t>
        </is>
      </c>
      <c r="AF8" s="21" t="inlineStr">
        <is>
          <t>Pending: illustrative mock row — three-response evaluation not executed</t>
        </is>
      </c>
      <c r="AH8" s="21" t="inlineStr">
        <is>
          <t>Pending</t>
        </is>
      </c>
      <c r="AI8" s="21" t="inlineStr">
        <is>
          <t>Pending: illustrative mock row; run pdf_golden_qa.py to generate real evaluation results</t>
        </is>
      </c>
    </row>
    <row r="9" ht="24.95" customHeight="1" s="39"/>
    <row r="10" ht="24.95" customHeight="1" s="39"/>
    <row r="11" ht="24.95" customHeight="1" s="39"/>
    <row r="12" ht="24.95" customHeight="1" s="39"/>
    <row r="13" ht="24.95" customHeight="1" s="39"/>
    <row r="14" ht="24.95" customHeight="1" s="39"/>
    <row r="15" ht="24.95" customHeight="1" s="39"/>
    <row r="16" ht="24.95" customHeight="1" s="39"/>
    <row r="17" ht="24.95" customHeight="1" s="39"/>
    <row r="18" ht="24.95" customHeight="1" s="39"/>
    <row r="19" ht="24.95" customHeight="1" s="39"/>
    <row r="20" ht="24.95" customHeight="1" s="39"/>
    <row r="21" ht="24.95" customHeight="1" s="39"/>
    <row r="22" ht="24.95" customHeight="1" s="39"/>
    <row r="23" ht="24.95" customHeight="1" s="39"/>
    <row r="24" ht="24.95" customHeight="1" s="39"/>
    <row r="25" ht="24.95" customHeight="1" s="39"/>
    <row r="26" ht="24.95" customHeight="1" s="39"/>
    <row r="27" ht="24.95" customHeight="1" s="39"/>
    <row r="28" ht="24.95" customHeight="1" s="39"/>
    <row r="29" ht="24.95" customHeight="1" s="39"/>
    <row r="30" ht="24.95" customHeight="1" s="39"/>
    <row r="31" ht="24.95" customHeight="1" s="39"/>
    <row r="32" ht="24.95" customHeight="1" s="39"/>
    <row r="33" ht="24.95" customHeight="1" s="39"/>
    <row r="34" ht="24.95" customHeight="1" s="39"/>
    <row r="35" ht="24.95" customHeight="1" s="39"/>
    <row r="36" ht="24.95" customHeight="1" s="39"/>
    <row r="37" ht="24.95" customHeight="1" s="39"/>
    <row r="38" ht="24.95" customHeight="1" s="39"/>
    <row r="39" ht="24.95" customHeight="1" s="39"/>
    <row r="40" ht="24.95" customHeight="1" s="39"/>
    <row r="41" ht="24.95" customHeight="1" s="39"/>
    <row r="42" ht="24.95" customHeight="1" s="39"/>
    <row r="43" ht="24.95" customHeight="1" s="39"/>
    <row r="44" ht="24.95" customHeight="1" s="39"/>
    <row r="45" ht="24.95" customHeight="1" s="39"/>
    <row r="46" ht="24.95" customHeight="1" s="39"/>
    <row r="47" ht="24.95" customHeight="1" s="39"/>
    <row r="48" ht="24.95" customHeight="1" s="39"/>
    <row r="49" ht="24.95" customHeight="1" s="39"/>
    <row r="50" ht="24.95" customHeight="1" s="39"/>
    <row r="51" ht="24.95" customHeight="1" s="39"/>
    <row r="52" ht="24.95" customHeight="1" s="39"/>
    <row r="53" ht="24.95" customHeight="1" s="39"/>
    <row r="54" ht="24.95" customHeight="1" s="39"/>
    <row r="55" ht="24.95" customHeight="1" s="39"/>
    <row r="56" ht="24.95" customHeight="1" s="39"/>
    <row r="57" ht="24.95" customHeight="1" s="39"/>
    <row r="58" ht="24.95" customHeight="1" s="39"/>
    <row r="59" ht="24.95" customHeight="1" s="39"/>
    <row r="60" ht="24.95" customHeight="1" s="39"/>
    <row r="61" ht="24.95" customHeight="1" s="39"/>
    <row r="62" ht="24.95" customHeight="1" s="39"/>
    <row r="63" ht="24.95" customHeight="1" s="39"/>
    <row r="64" ht="24.95" customHeight="1" s="39"/>
    <row r="65" ht="24.95" customHeight="1" s="39"/>
    <row r="66" ht="24.95" customHeight="1" s="39"/>
    <row r="67" ht="24.95" customHeight="1" s="39"/>
    <row r="68" ht="24.95" customHeight="1" s="39"/>
    <row r="69" ht="24.95" customHeight="1" s="39"/>
    <row r="70" ht="24.95" customHeight="1" s="39"/>
    <row r="71" ht="24.95" customHeight="1" s="39"/>
    <row r="72" ht="24.95" customHeight="1" s="39"/>
    <row r="73" ht="24.95" customHeight="1" s="39"/>
    <row r="74" ht="24.95" customHeight="1" s="39"/>
    <row r="75" ht="24.95" customHeight="1" s="39"/>
    <row r="76" ht="24.95" customHeight="1" s="39"/>
    <row r="77" ht="24.95" customHeight="1" s="39"/>
    <row r="78" ht="24.95" customHeight="1" s="39"/>
    <row r="79" ht="24.95" customHeight="1" s="39"/>
    <row r="80" ht="24.95" customHeight="1" s="39"/>
    <row r="81" ht="24.95" customHeight="1" s="39"/>
    <row r="82" ht="24.95" customHeight="1" s="39"/>
    <row r="83" ht="24.95" customHeight="1" s="39"/>
    <row r="84" ht="24.95" customHeight="1" s="39"/>
    <row r="85" ht="24.95" customHeight="1" s="39"/>
    <row r="86" ht="24.95" customHeight="1" s="39"/>
    <row r="87" ht="24.95" customHeight="1" s="39"/>
    <row r="88" ht="24.95" customHeight="1" s="39"/>
    <row r="89" ht="24.95" customHeight="1" s="39"/>
    <row r="90" ht="24.95" customHeight="1" s="39"/>
    <row r="91" ht="24.95" customHeight="1" s="39"/>
    <row r="92" ht="24.95" customHeight="1" s="39"/>
    <row r="93" ht="24.95" customHeight="1" s="39"/>
    <row r="94" ht="24.95" customHeight="1" s="39"/>
    <row r="95" ht="24.95" customHeight="1" s="39"/>
    <row r="96" ht="24.95" customHeight="1" s="39"/>
    <row r="97" ht="24.95" customHeight="1" s="39"/>
    <row r="98" ht="24.95" customHeight="1" s="39"/>
    <row r="99" ht="24.95" customHeight="1" s="39"/>
    <row r="100" ht="24.95" customHeight="1" s="39"/>
    <row r="101" ht="24.95" customHeight="1" s="39"/>
    <row r="102" ht="24.95" customHeight="1" s="39"/>
    <row r="103" ht="24.95" customHeight="1" s="39"/>
    <row r="104" ht="24.95" customHeight="1" s="39"/>
    <row r="105" ht="24.95" customHeight="1" s="39"/>
    <row r="106" ht="24.95" customHeight="1" s="39"/>
    <row r="107" ht="24.95" customHeight="1" s="39"/>
  </sheetData>
  <mergeCells count="1">
    <mergeCell ref="A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zoomScaleNormal="100" zoomScaleSheetLayoutView="100" workbookViewId="0">
      <selection activeCell="G5" sqref="G5"/>
    </sheetView>
  </sheetViews>
  <sheetFormatPr baseColWidth="8" defaultColWidth="12.42578125" defaultRowHeight="12.95"/>
  <cols>
    <col width="18" customWidth="1" style="39" min="1" max="1"/>
    <col width="27" customWidth="1" style="39" min="2" max="2"/>
    <col width="18" customWidth="1" style="39" min="3" max="6"/>
  </cols>
  <sheetData>
    <row r="1" ht="38.1" customHeight="1" s="39">
      <c r="A1" s="16" t="inlineStr">
        <is>
          <t>No</t>
        </is>
      </c>
      <c r="B1" s="16" t="inlineStr">
        <is>
          <t>Metric Name</t>
        </is>
      </c>
      <c r="C1" s="16" t="inlineStr">
        <is>
          <t>Pass</t>
        </is>
      </c>
      <c r="D1" s="16" t="inlineStr">
        <is>
          <t>Required Rerun</t>
        </is>
      </c>
      <c r="E1" s="16" t="inlineStr">
        <is>
          <t>Total Request</t>
        </is>
      </c>
      <c r="F1" s="16" t="inlineStr">
        <is>
          <t>Pass %</t>
        </is>
      </c>
    </row>
    <row r="2" ht="14.1" customHeight="1" s="39">
      <c r="A2" s="17" t="n">
        <v>1</v>
      </c>
      <c r="B2" s="15" t="inlineStr">
        <is>
          <t>Correctness</t>
        </is>
      </c>
      <c r="C2" s="15">
        <f>COUNTIF('Text Execution Result'!S3:S107,1)</f>
        <v/>
      </c>
      <c r="D2" s="15">
        <f>E2-C2</f>
        <v/>
      </c>
      <c r="E2" s="15">
        <f>COUNT('Text Execution Result'!S3:S107)</f>
        <v/>
      </c>
      <c r="F2" s="18">
        <f>IF(E2=0,"",C2/E2)</f>
        <v/>
      </c>
    </row>
    <row r="3" ht="14.1" customHeight="1" s="39">
      <c r="A3" s="17" t="n">
        <v>2</v>
      </c>
      <c r="B3" s="15" t="inlineStr">
        <is>
          <t>Answer Relevancy</t>
        </is>
      </c>
      <c r="C3" s="15">
        <f>COUNTIF('Text Execution Result'!V3:V107,"&gt;=0.8")</f>
        <v/>
      </c>
      <c r="D3" s="15">
        <f>E3-C3</f>
        <v/>
      </c>
      <c r="E3" s="15">
        <f>COUNT('Text Execution Result'!V3:V107)</f>
        <v/>
      </c>
      <c r="F3" s="18">
        <f>IF(E3=0,"",C3/E3)</f>
        <v/>
      </c>
    </row>
    <row r="4" ht="14.1" customHeight="1" s="39">
      <c r="A4" s="17" t="n">
        <v>3</v>
      </c>
      <c r="B4" s="15" t="inlineStr">
        <is>
          <t>Role Adherence</t>
        </is>
      </c>
      <c r="C4" s="15">
        <f>COUNTIF('Text Execution Result'!Y3:Y107,"&gt;=0.8")</f>
        <v/>
      </c>
      <c r="D4" s="15">
        <f>E4-C4</f>
        <v/>
      </c>
      <c r="E4" s="15">
        <f>COUNT('Text Execution Result'!Y3:Y107)</f>
        <v/>
      </c>
      <c r="F4" s="18">
        <f>IF(E4=0,"",C4/E4)</f>
        <v/>
      </c>
    </row>
    <row r="5" ht="14.1" customHeight="1" s="39">
      <c r="A5" s="17" t="n">
        <v>4</v>
      </c>
      <c r="B5" s="15" t="inlineStr">
        <is>
          <t>Bias</t>
        </is>
      </c>
      <c r="C5" s="15">
        <f>COUNTIFS('Text Execution Result'!AB3:AB107,0,'Text Execution Result'!AB3:AB107,"&lt;&gt;")</f>
        <v/>
      </c>
      <c r="D5" s="15">
        <f>E5-C5</f>
        <v/>
      </c>
      <c r="E5" s="15">
        <f>COUNT('Text Execution Result'!AB3:AB107)</f>
        <v/>
      </c>
      <c r="F5" s="18">
        <f>IF(E5=0,"",C5/E5)</f>
        <v/>
      </c>
    </row>
    <row r="6" ht="14.1" customHeight="1" s="39">
      <c r="A6" s="17" t="n">
        <v>5</v>
      </c>
      <c r="B6" s="15" t="inlineStr">
        <is>
          <t>Toxicity</t>
        </is>
      </c>
      <c r="C6" s="15">
        <f>COUNTIFS('Text Execution Result'!AE3:AE107,0,'Text Execution Result'!AE3:AE107,"&lt;&gt;")</f>
        <v/>
      </c>
      <c r="D6" s="15">
        <f>E6-C6</f>
        <v/>
      </c>
      <c r="E6" s="15">
        <f>COUNT('Text Execution Result'!AE3:AE107)</f>
        <v/>
      </c>
      <c r="F6" s="18">
        <f>IF(E6=0,"",C6/E6)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2026-10-06T11:48:02Z</dcterms:created>
  <dcterms:modified xmlns:dcterms="http://purl.org/dc/terms/" xmlns:xsi="http://www.w3.org/2001/XMLSchema-instance" xsi:type="dcterms:W3CDTF">2026-10-22T09:15:08Z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0x010100EB29AB51681A0F4F9ED1DBAFCE244542</vt:lpwstr>
  </property>
  <property name="MediaServiceImageTags" fmtid="{D5CDD505-2E9C-101B-9397-08002B2CF9AE}" pid="3">
    <vt:lpwstr xmlns:vt="http://schemas.openxmlformats.org/officeDocument/2006/docPropsVTypes"/>
  </property>
</Properties>
</file>